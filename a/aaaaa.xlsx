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<sst xmlns="http://schemas.openxmlformats.org/spreadsheetml/2006/main" count="67" uniqueCount="41">
  <si>
    <t xml:space="preserve">No-Number:</t>
  </si>
  <si>
    <t xml:space="preserve">NETAX18/06/02</t>
  </si>
  <si>
    <t xml:space="preserve">Tarih -Date:</t>
  </si>
  <si>
    <t xml:space="preserve">06/31/2018</t>
  </si>
  <si>
    <t xml:space="preserve">MASRAF BEYAN FORMU</t>
  </si>
  <si>
    <t xml:space="preserve"> EXPENSES DECLARATION FORM</t>
  </si>
  <si>
    <t xml:space="preserve">Adı Soyadı
(Name-Last Name)</t>
  </si>
  <si>
    <t xml:space="preserve">SÜLEYMAN MERT ZENGİN</t>
  </si>
  <si>
    <t xml:space="preserve">Görevi (Title)</t>
  </si>
  <si>
    <t xml:space="preserve">STAJYER</t>
  </si>
  <si>
    <t xml:space="preserve">Gidilen Yerler
(Company/City Of Travel)</t>
  </si>
  <si>
    <t xml:space="preserve">____________</t>
  </si>
  <si>
    <t xml:space="preserve">Proje Kodu/ Masraf (Seyahat Amacı)
(Project Code/Reason of Expence(Travel)</t>
  </si>
  <si>
    <t xml:space="preserve">_____________</t>
  </si>
  <si>
    <t xml:space="preserve">Seyehat Başlangıç ve Bitiş Tarihi
(Departurre And Arrival Dates)</t>
  </si>
  <si>
    <t xml:space="preserve">KONAKLAMA, YEMEK ve DİĞER HARCAMALAR (ACCOMMODATION FOOD and OTHER EXPENSES)</t>
  </si>
  <si>
    <t xml:space="preserve">Sıra No</t>
  </si>
  <si>
    <t xml:space="preserve">Tarih (Date)</t>
  </si>
  <si>
    <t xml:space="preserve">Fiş No</t>
  </si>
  <si>
    <t xml:space="preserve">Masraf Tipi</t>
  </si>
  <si>
    <t xml:space="preserve">Açıklama</t>
  </si>
  <si>
    <t xml:space="preserve">KDV TutarI</t>
  </si>
  <si>
    <t xml:space="preserve">Tutar</t>
  </si>
  <si>
    <t xml:space="preserve">T. Tutar</t>
  </si>
  <si>
    <t xml:space="preserve">YİYECEK</t>
  </si>
  <si>
    <t xml:space="preserve">BACA KEBAP</t>
  </si>
  <si>
    <t xml:space="preserve">AĞA EKSPRES</t>
  </si>
  <si>
    <t xml:space="preserve">EZGİM GIDA</t>
  </si>
  <si>
    <t xml:space="preserve">YEMEK</t>
  </si>
  <si>
    <t xml:space="preserve">ÇINAR LOKANTA VE GIDA</t>
  </si>
  <si>
    <t xml:space="preserve">YILDIZ ÇINAR LOKANTA</t>
  </si>
  <si>
    <t xml:space="preserve">SEYAHAT GİDERLERİ TOPLAMI (TOTAL EXPENSES)</t>
  </si>
  <si>
    <t xml:space="preserve">ALINAN AVANS (TOTAL ADVANCE)</t>
  </si>
  <si>
    <t xml:space="preserve">TOPLAM ÖDENECEK GİDER (BALANCE)</t>
  </si>
  <si>
    <t xml:space="preserve">Yukarıda belirtilen seyahatle ilgili masraflar tarafımdan yapılmıştır.</t>
  </si>
  <si>
    <t xml:space="preserve">Seyehat  Eden  veya  Varsa  </t>
  </si>
  <si>
    <t xml:space="preserve">Bölüm Müdür Onayı</t>
  </si>
  <si>
    <t xml:space="preserve">Genel Müdür</t>
  </si>
  <si>
    <t xml:space="preserve">Grup  Lideri Signature</t>
  </si>
  <si>
    <t xml:space="preserve">Approval Of Department Manager</t>
  </si>
  <si>
    <t xml:space="preserve">Approval of General Manager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</si>
</sst>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\ [$USD]"/>
    <numFmt numFmtId="166" formatCode="M/D/YYYY"/>
    <numFmt numFmtId="167" formatCode="_-* #,##0.00&quot; ₺&quot;_-;\-* #,##0.00&quot; ₺&quot;_-;_-* \-??&quot; ₺&quot;_-;_-@_-"/>
    <numFmt numFmtId="168" formatCode="0.00"/>
    <numFmt numFmtId="169" formatCode="#,##0.00\ [$₺-41F]"/>
  </numFmts>
  <fonts count="20">
    <font>
      <sz val="11"/>
      <color rgb="FF000000"/>
      <name val="Calibri"/>
      <family val="2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Calibri"/>
      <family val="0"/>
      <charset val="1"/>
    </font>
    <font>
      <sz val="10"/>
      <color rgb="FF000000"/>
      <name val="Calibri"/>
      <family val="0"/>
      <charset val="1"/>
    </font>
    <font>
      <sz val="9"/>
      <color rgb="FF000000"/>
      <name val="Calibri"/>
      <family val="2"/>
      <charset val="162"/>
    </font>
    <font>
      <b val="true"/>
      <sz val="9"/>
      <color rgb="FF000000"/>
      <name val="Calibri"/>
      <family val="2"/>
    </font>
    <font>
      <b val="true"/>
      <sz val="14"/>
      <color rgb="FF000000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000000"/>
      <name val="Calibri"/>
      <family val="2"/>
      <charset val="162"/>
    </font>
    <font>
      <b val="true"/>
      <sz val="10"/>
      <color rgb="FF000000"/>
      <name val="Calibri"/>
      <family val="0"/>
      <charset val="1"/>
    </font>
    <font>
      <b val="true"/>
      <sz val="10"/>
      <color rgb="FF000000"/>
      <name val="Calibri"/>
      <family val="2"/>
    </font>
    <font>
      <b val="true"/>
      <sz val="10"/>
      <name val="Calibri"/>
      <family val="2"/>
    </font>
    <font>
      <b val="true"/>
      <sz val="9"/>
      <color rgb="FF000000"/>
      <name val="Calibri"/>
      <family val="2"/>
      <charset val="162"/>
    </font>
    <font>
      <b val="true"/>
      <sz val="10"/>
      <color rgb="FF000000"/>
      <name val="Calibri"/>
      <family val="2"/>
      <charset val="162"/>
    </font>
    <font>
      <sz val="10"/>
      <color rgb="FF000000"/>
      <name val="Calibri"/>
      <family val="2"/>
      <charset val="162"/>
    </font>
    <font>
      <sz val="10"/>
      <name val="Calibri"/>
      <family val="2"/>
      <charset val="162"/>
    </font>
    <font>
      <b val="true"/>
      <sz val="8"/>
      <color rgb="FF000000"/>
      <name val="Calibri"/>
      <family val="0"/>
      <charset val="1"/>
    </font>
    <font>
      <i val="true"/>
      <sz val="10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2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tru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  <xf numFmtId="164" fontId="19" fillId="0" borderId="0" xfId="0" applyFont="true" applyBorder="true" applyAlignment="true" applyProtection="false">
      <alignment horizontal="center" vertical="bottom" textRotation="0" wrapText="false" indent="0" shrinkToFit="tru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RowHeight="15" zeroHeight="false" outlineLevelRow="0" outlineLevelCol="0"/>
  <cols>
    <col collapsed="false" customWidth="true" hidden="false" outlineLevel="0" max="1" min="1" style="1" width="6.43"/>
    <col collapsed="false" customWidth="true" hidden="false" outlineLevel="0" max="2" min="2" style="1" width="11.28"/>
    <col collapsed="false" customWidth="true" hidden="false" outlineLevel="0" max="3" min="3" style="2" width="12.43"/>
    <col collapsed="false" customWidth="false" hidden="false" outlineLevel="0" max="4" min="4" style="3" width="11.43"/>
    <col collapsed="false" customWidth="true" hidden="false" outlineLevel="0" max="5" min="5" style="1" width="28.57"/>
    <col collapsed="false" customWidth="true" hidden="false" outlineLevel="0" max="6" min="6" style="1" width="10.28"/>
    <col collapsed="false" customWidth="true" hidden="false" outlineLevel="0" max="7" min="7" style="1" width="8.85"/>
    <col collapsed="false" customWidth="true" hidden="false" outlineLevel="0" max="8" min="8" style="1" width="12.28"/>
    <col collapsed="false" customWidth="true" hidden="false" outlineLevel="0" max="1025" min="9" style="1" width="6.85"/>
  </cols>
  <sheetData>
    <row r="1" customFormat="false" ht="15" hidden="false" customHeight="false" outlineLevel="0" collapsed="false">
      <c r="A1" s="4"/>
      <c r="B1" s="4"/>
      <c r="C1" s="5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5" hidden="false" customHeight="false" outlineLevel="0" collapsed="false">
      <c r="A2" s="4"/>
      <c r="B2" s="4"/>
      <c r="C2" s="5"/>
      <c r="D2" s="6"/>
      <c r="E2" s="4"/>
      <c r="F2" s="4"/>
      <c r="G2" s="7" t="s">
        <v>0</v>
      </c>
      <c r="H2" s="8" t="s">
        <v>1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customFormat="false" ht="13.8" hidden="false" customHeight="false" outlineLevel="0" collapsed="false">
      <c r="A3" s="4"/>
      <c r="B3" s="4"/>
      <c r="C3" s="5"/>
      <c r="D3" s="9"/>
      <c r="E3" s="10"/>
      <c r="F3" s="10"/>
      <c r="G3" s="7" t="s">
        <v>2</v>
      </c>
      <c r="H3" s="11" t="s">
        <v>3</v>
      </c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customFormat="false" ht="15" hidden="false" customHeight="false" outlineLevel="0" collapsed="false">
      <c r="A4" s="4"/>
      <c r="B4" s="4"/>
      <c r="C4" s="12" t="s">
        <v>4</v>
      </c>
      <c r="D4" s="12"/>
      <c r="E4" s="12"/>
      <c r="F4" s="12"/>
      <c r="G4" s="12"/>
      <c r="H4" s="12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customFormat="false" ht="15" hidden="false" customHeight="false" outlineLevel="0" collapsed="false">
      <c r="A5" s="4"/>
      <c r="B5" s="4"/>
      <c r="C5" s="12"/>
      <c r="D5" s="12"/>
      <c r="E5" s="12"/>
      <c r="F5" s="12"/>
      <c r="G5" s="12"/>
      <c r="H5" s="12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customFormat="false" ht="15" hidden="false" customHeight="false" outlineLevel="0" collapsed="false">
      <c r="A6" s="4"/>
      <c r="B6" s="4"/>
      <c r="C6" s="13" t="s">
        <v>5</v>
      </c>
      <c r="D6" s="13"/>
      <c r="E6" s="13"/>
      <c r="F6" s="13"/>
      <c r="G6" s="13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customFormat="false" ht="15" hidden="false" customHeight="true" outlineLevel="0" collapsed="false">
      <c r="A7" s="14" t="s">
        <v>6</v>
      </c>
      <c r="B7" s="14"/>
      <c r="C7" s="14"/>
      <c r="D7" s="15" t="s">
        <v>7</v>
      </c>
      <c r="E7" s="15"/>
      <c r="F7" s="15"/>
      <c r="G7" s="15"/>
      <c r="H7" s="15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customFormat="false" ht="15" hidden="false" customHeight="false" outlineLevel="0" collapsed="false">
      <c r="A8" s="14"/>
      <c r="B8" s="14"/>
      <c r="C8" s="14"/>
      <c r="D8" s="15"/>
      <c r="E8" s="15"/>
      <c r="F8" s="15"/>
      <c r="G8" s="15"/>
      <c r="H8" s="15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customFormat="false" ht="15" hidden="false" customHeight="false" outlineLevel="0" collapsed="false">
      <c r="A9" s="16" t="s">
        <v>8</v>
      </c>
      <c r="B9" s="16"/>
      <c r="C9" s="16"/>
      <c r="D9" s="15" t="s">
        <v>9</v>
      </c>
      <c r="E9" s="15"/>
      <c r="F9" s="15"/>
      <c r="G9" s="15"/>
      <c r="H9" s="15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customFormat="false" ht="8.25" hidden="false" customHeight="true" outlineLevel="0" collapsed="false">
      <c r="A10" s="16"/>
      <c r="B10" s="16"/>
      <c r="C10" s="16"/>
      <c r="D10" s="15"/>
      <c r="E10" s="15"/>
      <c r="F10" s="15"/>
      <c r="G10" s="15"/>
      <c r="H10" s="15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customFormat="false" ht="15" hidden="false" customHeight="true" outlineLevel="0" collapsed="false">
      <c r="A11" s="17" t="s">
        <v>10</v>
      </c>
      <c r="B11" s="17"/>
      <c r="C11" s="17"/>
      <c r="D11" s="18" t="s">
        <v>11</v>
      </c>
      <c r="E11" s="18"/>
      <c r="F11" s="18"/>
      <c r="G11" s="18"/>
      <c r="H11" s="18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customFormat="false" ht="12" hidden="false" customHeight="true" outlineLevel="0" collapsed="false">
      <c r="A12" s="17"/>
      <c r="B12" s="17"/>
      <c r="C12" s="17"/>
      <c r="D12" s="18"/>
      <c r="E12" s="18"/>
      <c r="F12" s="18"/>
      <c r="G12" s="18"/>
      <c r="H12" s="18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customFormat="false" ht="15" hidden="false" customHeight="true" outlineLevel="0" collapsed="false">
      <c r="A13" s="17" t="s">
        <v>12</v>
      </c>
      <c r="B13" s="17"/>
      <c r="C13" s="17"/>
      <c r="D13" s="18" t="s">
        <v>13</v>
      </c>
      <c r="E13" s="18"/>
      <c r="F13" s="18"/>
      <c r="G13" s="18"/>
      <c r="H13" s="18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customFormat="false" ht="36" hidden="false" customHeight="true" outlineLevel="0" collapsed="false">
      <c r="A14" s="17"/>
      <c r="B14" s="17"/>
      <c r="C14" s="17"/>
      <c r="D14" s="18"/>
      <c r="E14" s="18"/>
      <c r="F14" s="18"/>
      <c r="G14" s="18"/>
      <c r="H14" s="18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customFormat="false" ht="13.8" hidden="false" customHeight="true" outlineLevel="0" collapsed="false">
      <c r="A15" s="17" t="s">
        <v>14</v>
      </c>
      <c r="B15" s="17"/>
      <c r="C15" s="17"/>
      <c r="D15" s="19" t="n">
        <v>43276</v>
      </c>
      <c r="E15" s="19"/>
      <c r="F15" s="20" t="s">
        <v>3</v>
      </c>
      <c r="G15" s="20"/>
      <c r="H15" s="20"/>
      <c r="I15" s="4"/>
      <c r="J15" s="4"/>
      <c r="K15" s="4"/>
      <c r="L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customFormat="false" ht="15" hidden="false" customHeight="false" outlineLevel="0" collapsed="false">
      <c r="A16" s="17"/>
      <c r="B16" s="17"/>
      <c r="C16" s="17"/>
      <c r="D16" s="19"/>
      <c r="E16" s="19"/>
      <c r="F16" s="20"/>
      <c r="G16" s="20"/>
      <c r="H16" s="20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customFormat="false" ht="15" hidden="false" customHeight="false" outlineLevel="0" collapsed="false">
      <c r="A17" s="4"/>
      <c r="B17" s="4"/>
      <c r="C17" s="5"/>
      <c r="D17" s="6"/>
      <c r="E17" s="4"/>
      <c r="F17" s="4"/>
      <c r="G17" s="4"/>
      <c r="H17" s="2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customFormat="false" ht="15" hidden="false" customHeight="false" outlineLevel="0" collapsed="false">
      <c r="A18" s="22" t="s">
        <v>15</v>
      </c>
      <c r="B18" s="22"/>
      <c r="C18" s="22"/>
      <c r="D18" s="22"/>
      <c r="E18" s="22"/>
      <c r="F18" s="22"/>
      <c r="G18" s="22"/>
      <c r="H18" s="22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="28" customFormat="true" ht="12" hidden="false" customHeight="false" outlineLevel="0" collapsed="false">
      <c r="A19" s="23"/>
      <c r="B19" s="23"/>
      <c r="C19" s="24"/>
      <c r="D19" s="25"/>
      <c r="E19" s="23"/>
      <c r="F19" s="23"/>
      <c r="G19" s="23"/>
      <c r="H19" s="26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</row>
    <row r="20" s="31" customFormat="true" ht="12.75" hidden="false" customHeight="false" outlineLevel="0" collapsed="false">
      <c r="A20" s="29" t="s">
        <v>16</v>
      </c>
      <c r="B20" s="29" t="s">
        <v>17</v>
      </c>
      <c r="C20" s="29" t="s">
        <v>18</v>
      </c>
      <c r="D20" s="30" t="s">
        <v>19</v>
      </c>
      <c r="E20" s="30" t="s">
        <v>20</v>
      </c>
      <c r="F20" s="30" t="s">
        <v>21</v>
      </c>
      <c r="G20" s="29" t="s">
        <v>22</v>
      </c>
      <c r="H20" s="29" t="s">
        <v>23</v>
      </c>
    </row>
    <row r="21" s="39" customFormat="true" ht="15" hidden="false" customHeight="true" outlineLevel="0" collapsed="false">
      <c r="A21" s="32" t="n">
        <v>1</v>
      </c>
      <c r="B21" s="33" t="n">
        <v>43105</v>
      </c>
      <c r="C21" s="34" t="n">
        <v>16</v>
      </c>
      <c r="D21" s="35" t="s">
        <v>24</v>
      </c>
      <c r="E21" s="36" t="s">
        <v>25</v>
      </c>
      <c r="F21" s="37" t="n">
        <v>1.26</v>
      </c>
      <c r="G21" s="37" t="n">
        <f aca="false">H21-F21</f>
        <v>125.74</v>
      </c>
      <c r="H21" s="36" t="n">
        <v>127</v>
      </c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</row>
    <row r="22" s="39" customFormat="true" ht="15" hidden="false" customHeight="true" outlineLevel="0" collapsed="false">
      <c r="A22" s="32" t="n">
        <v>2</v>
      </c>
      <c r="B22" s="33" t="n">
        <v>43108</v>
      </c>
      <c r="C22" s="34" t="n">
        <v>99</v>
      </c>
      <c r="D22" s="35" t="s">
        <v>24</v>
      </c>
      <c r="E22" s="36" t="s">
        <v>26</v>
      </c>
      <c r="F22" s="40" t="n">
        <v>1.04</v>
      </c>
      <c r="G22" s="37" t="n">
        <f aca="false">H22-F22</f>
        <v>12.96</v>
      </c>
      <c r="H22" s="36" t="n">
        <v>14</v>
      </c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8"/>
      <c r="V22" s="38"/>
      <c r="W22" s="38"/>
      <c r="X22" s="38"/>
      <c r="Y22" s="38"/>
    </row>
    <row r="23" s="39" customFormat="true" ht="15" hidden="false" customHeight="true" outlineLevel="0" collapsed="false">
      <c r="A23" s="32" t="n">
        <v>3</v>
      </c>
      <c r="B23" s="33" t="n">
        <v>43109</v>
      </c>
      <c r="C23" s="34" t="n">
        <v>69</v>
      </c>
      <c r="D23" s="35" t="s">
        <v>24</v>
      </c>
      <c r="E23" s="36" t="s">
        <v>26</v>
      </c>
      <c r="F23" s="40" t="n">
        <v>1.33</v>
      </c>
      <c r="G23" s="37" t="n">
        <f aca="false">H23-F23</f>
        <v>16.67</v>
      </c>
      <c r="H23" s="36" t="n">
        <v>18</v>
      </c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8"/>
      <c r="V23" s="38"/>
      <c r="W23" s="38"/>
      <c r="X23" s="38"/>
      <c r="Y23" s="38"/>
    </row>
    <row r="24" s="39" customFormat="true" ht="15" hidden="false" customHeight="true" outlineLevel="0" collapsed="false">
      <c r="A24" s="32" t="n">
        <v>5</v>
      </c>
      <c r="B24" s="33" t="n">
        <v>43114</v>
      </c>
      <c r="C24" s="34" t="n">
        <v>215</v>
      </c>
      <c r="D24" s="35" t="s">
        <v>24</v>
      </c>
      <c r="E24" s="36" t="s">
        <v>27</v>
      </c>
      <c r="F24" s="40" t="n">
        <v>1.89</v>
      </c>
      <c r="G24" s="37" t="n">
        <f aca="false">H24-F24</f>
        <v>23.61</v>
      </c>
      <c r="H24" s="36" t="n">
        <v>25.5</v>
      </c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="39" customFormat="true" ht="15" hidden="false" customHeight="true" outlineLevel="0" collapsed="false">
      <c r="A25" s="32" t="n">
        <v>6</v>
      </c>
      <c r="B25" s="33" t="n">
        <v>43115</v>
      </c>
      <c r="C25" s="34" t="n">
        <v>94</v>
      </c>
      <c r="D25" s="35" t="s">
        <v>24</v>
      </c>
      <c r="E25" s="36" t="s">
        <v>26</v>
      </c>
      <c r="F25" s="40" t="n">
        <v>1.04</v>
      </c>
      <c r="G25" s="37" t="n">
        <f aca="false">H25-F25</f>
        <v>12.96</v>
      </c>
      <c r="H25" s="36" t="n">
        <v>14</v>
      </c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</row>
    <row r="26" s="39" customFormat="true" ht="15" hidden="false" customHeight="true" outlineLevel="0" collapsed="false">
      <c r="A26" s="32" t="n">
        <v>7</v>
      </c>
      <c r="B26" s="33" t="n">
        <v>43117</v>
      </c>
      <c r="C26" s="34" t="n">
        <v>62</v>
      </c>
      <c r="D26" s="35" t="s">
        <v>28</v>
      </c>
      <c r="E26" s="36" t="s">
        <v>26</v>
      </c>
      <c r="F26" s="40" t="n">
        <v>1.04</v>
      </c>
      <c r="G26" s="37" t="n">
        <f aca="false">H26-F26</f>
        <v>12.96</v>
      </c>
      <c r="H26" s="36" t="n">
        <v>14</v>
      </c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</row>
    <row r="27" s="39" customFormat="true" ht="15" hidden="false" customHeight="true" outlineLevel="0" collapsed="false">
      <c r="A27" s="32" t="n">
        <v>8</v>
      </c>
      <c r="B27" s="33" t="n">
        <v>43118</v>
      </c>
      <c r="C27" s="34" t="n">
        <v>121</v>
      </c>
      <c r="D27" s="35" t="s">
        <v>28</v>
      </c>
      <c r="E27" s="36" t="s">
        <v>26</v>
      </c>
      <c r="F27" s="40" t="n">
        <v>0.61</v>
      </c>
      <c r="G27" s="37" t="n">
        <f aca="false">H27-F27</f>
        <v>7.64</v>
      </c>
      <c r="H27" s="36" t="n">
        <v>8.25</v>
      </c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="39" customFormat="true" ht="15" hidden="false" customHeight="true" outlineLevel="0" collapsed="false">
      <c r="A28" s="32" t="n">
        <v>9</v>
      </c>
      <c r="B28" s="33" t="n">
        <v>43119</v>
      </c>
      <c r="C28" s="34" t="n">
        <v>187</v>
      </c>
      <c r="D28" s="35" t="s">
        <v>28</v>
      </c>
      <c r="E28" s="36" t="s">
        <v>26</v>
      </c>
      <c r="F28" s="40" t="n">
        <v>1.2</v>
      </c>
      <c r="G28" s="37" t="n">
        <f aca="false">H28-F28</f>
        <v>15.05</v>
      </c>
      <c r="H28" s="36" t="n">
        <v>16.25</v>
      </c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</row>
    <row r="29" s="39" customFormat="true" ht="15" hidden="false" customHeight="true" outlineLevel="0" collapsed="false">
      <c r="A29" s="32" t="n">
        <v>10</v>
      </c>
      <c r="B29" s="33" t="n">
        <v>43122</v>
      </c>
      <c r="C29" s="34" t="n">
        <v>48</v>
      </c>
      <c r="D29" s="35" t="s">
        <v>28</v>
      </c>
      <c r="E29" s="36" t="s">
        <v>26</v>
      </c>
      <c r="F29" s="40" t="n">
        <v>1.2</v>
      </c>
      <c r="G29" s="37" t="n">
        <f aca="false">H29-F29</f>
        <v>15.05</v>
      </c>
      <c r="H29" s="36" t="n">
        <v>16.25</v>
      </c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</row>
    <row r="30" s="39" customFormat="true" ht="15" hidden="false" customHeight="true" outlineLevel="0" collapsed="false">
      <c r="A30" s="32" t="n">
        <v>11</v>
      </c>
      <c r="B30" s="33" t="n">
        <v>43123</v>
      </c>
      <c r="C30" s="34" t="n">
        <v>86</v>
      </c>
      <c r="D30" s="35" t="s">
        <v>28</v>
      </c>
      <c r="E30" s="36" t="s">
        <v>26</v>
      </c>
      <c r="F30" s="40" t="n">
        <v>1.52</v>
      </c>
      <c r="G30" s="37" t="n">
        <f aca="false">H30-F30</f>
        <v>18.98</v>
      </c>
      <c r="H30" s="36" t="n">
        <v>20.5</v>
      </c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</row>
    <row r="31" s="39" customFormat="true" ht="15" hidden="false" customHeight="true" outlineLevel="0" collapsed="false">
      <c r="A31" s="32" t="n">
        <v>12</v>
      </c>
      <c r="B31" s="33" t="n">
        <v>43124</v>
      </c>
      <c r="C31" s="34" t="n">
        <v>70</v>
      </c>
      <c r="D31" s="35" t="s">
        <v>24</v>
      </c>
      <c r="E31" s="36" t="s">
        <v>26</v>
      </c>
      <c r="F31" s="40" t="n">
        <v>1.35</v>
      </c>
      <c r="G31" s="37" t="n">
        <f aca="false">H31-F31</f>
        <v>16.9</v>
      </c>
      <c r="H31" s="36" t="n">
        <v>18.25</v>
      </c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</row>
    <row r="32" s="39" customFormat="true" ht="15" hidden="false" customHeight="true" outlineLevel="0" collapsed="false">
      <c r="A32" s="32" t="n">
        <v>13</v>
      </c>
      <c r="B32" s="33" t="n">
        <v>43125</v>
      </c>
      <c r="C32" s="34" t="n">
        <v>83</v>
      </c>
      <c r="D32" s="35" t="s">
        <v>28</v>
      </c>
      <c r="E32" s="36" t="s">
        <v>26</v>
      </c>
      <c r="F32" s="40" t="n">
        <v>1.48</v>
      </c>
      <c r="G32" s="37" t="n">
        <f aca="false">H32-F32</f>
        <v>18.52</v>
      </c>
      <c r="H32" s="36" t="n">
        <v>20</v>
      </c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</row>
    <row r="33" s="39" customFormat="true" ht="15" hidden="false" customHeight="true" outlineLevel="0" collapsed="false">
      <c r="A33" s="32" t="n">
        <v>14</v>
      </c>
      <c r="B33" s="33" t="n">
        <v>43126</v>
      </c>
      <c r="C33" s="34" t="n">
        <v>91</v>
      </c>
      <c r="D33" s="35" t="s">
        <v>28</v>
      </c>
      <c r="E33" s="36" t="s">
        <v>26</v>
      </c>
      <c r="F33" s="40" t="n">
        <v>1.37</v>
      </c>
      <c r="G33" s="37" t="n">
        <f aca="false">H33-F33</f>
        <v>17.13</v>
      </c>
      <c r="H33" s="36" t="n">
        <v>18.5</v>
      </c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</row>
    <row r="34" s="39" customFormat="true" ht="15" hidden="false" customHeight="true" outlineLevel="0" collapsed="false">
      <c r="A34" s="32" t="n">
        <v>15</v>
      </c>
      <c r="B34" s="33" t="n">
        <v>43129</v>
      </c>
      <c r="C34" s="34" t="n">
        <v>4</v>
      </c>
      <c r="D34" s="35" t="s">
        <v>28</v>
      </c>
      <c r="E34" s="36" t="s">
        <v>29</v>
      </c>
      <c r="F34" s="40" t="n">
        <v>1.26</v>
      </c>
      <c r="G34" s="37" t="n">
        <f aca="false">H34-F34</f>
        <v>15.74</v>
      </c>
      <c r="H34" s="36" t="n">
        <v>17</v>
      </c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</row>
    <row r="35" s="39" customFormat="true" ht="15" hidden="false" customHeight="true" outlineLevel="0" collapsed="false">
      <c r="A35" s="32" t="n">
        <v>16</v>
      </c>
      <c r="B35" s="33" t="n">
        <v>43130</v>
      </c>
      <c r="C35" s="34" t="n">
        <v>4</v>
      </c>
      <c r="D35" s="35" t="s">
        <v>28</v>
      </c>
      <c r="E35" s="36" t="s">
        <v>30</v>
      </c>
      <c r="F35" s="40" t="n">
        <v>1.48</v>
      </c>
      <c r="G35" s="37" t="n">
        <f aca="false">H35-F35</f>
        <v>18.52</v>
      </c>
      <c r="H35" s="36" t="n">
        <v>20</v>
      </c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8"/>
    </row>
    <row r="36" s="39" customFormat="true" ht="15" hidden="false" customHeight="true" outlineLevel="0" collapsed="false">
      <c r="A36" s="32" t="n">
        <v>17</v>
      </c>
      <c r="B36" s="33" t="n">
        <v>43131</v>
      </c>
      <c r="C36" s="34" t="n">
        <v>104</v>
      </c>
      <c r="D36" s="35" t="s">
        <v>24</v>
      </c>
      <c r="E36" s="36" t="s">
        <v>26</v>
      </c>
      <c r="F36" s="40" t="n">
        <v>1.22</v>
      </c>
      <c r="G36" s="37" t="n">
        <f aca="false">H36-F36</f>
        <v>15.28</v>
      </c>
      <c r="H36" s="36" t="n">
        <v>16.5</v>
      </c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</row>
    <row r="37" customFormat="false" ht="13.8" hidden="false" customHeight="false" outlineLevel="0" collapsed="false">
      <c r="A37" s="4"/>
      <c r="B37" s="4"/>
      <c r="C37" s="5"/>
      <c r="D37" s="41" t="s">
        <v>31</v>
      </c>
      <c r="E37" s="41"/>
      <c r="F37" s="42"/>
      <c r="G37" s="43"/>
      <c r="H37" s="43" t="n">
        <f aca="false">SUM(H21:H36)</f>
        <v>384</v>
      </c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customFormat="false" ht="13.8" hidden="false" customHeight="false" outlineLevel="0" collapsed="false">
      <c r="A38" s="4"/>
      <c r="B38" s="4"/>
      <c r="C38" s="5"/>
      <c r="D38" s="41" t="s">
        <v>32</v>
      </c>
      <c r="E38" s="41"/>
      <c r="F38" s="41"/>
      <c r="G38" s="43"/>
      <c r="H38" s="43" t="n">
        <v>0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customFormat="false" ht="13.8" hidden="false" customHeight="false" outlineLevel="0" collapsed="false">
      <c r="A39" s="4"/>
      <c r="B39" s="4"/>
      <c r="C39" s="5"/>
      <c r="D39" s="41" t="s">
        <v>33</v>
      </c>
      <c r="E39" s="44"/>
      <c r="F39" s="41"/>
      <c r="G39" s="43"/>
      <c r="H39" s="43" t="n">
        <f aca="false">H37-H38</f>
        <v>384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customFormat="false" ht="13.8" hidden="false" customHeight="false" outlineLevel="0" collapsed="false">
      <c r="A40" s="45" t="s">
        <v>34</v>
      </c>
      <c r="B40" s="4"/>
      <c r="C40" s="5"/>
      <c r="D40" s="6"/>
      <c r="E40" s="4"/>
      <c r="F40" s="4"/>
      <c r="G40" s="4"/>
      <c r="H40" s="2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customFormat="false" ht="13.8" hidden="false" customHeight="false" outlineLevel="0" collapsed="false">
      <c r="A41" s="46"/>
      <c r="B41" s="47" t="s">
        <v>35</v>
      </c>
      <c r="C41" s="47"/>
      <c r="D41" s="48" t="s">
        <v>36</v>
      </c>
      <c r="E41" s="48"/>
      <c r="F41" s="49"/>
      <c r="G41" s="48" t="s">
        <v>37</v>
      </c>
      <c r="H41" s="48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customFormat="false" ht="13.8" hidden="false" customHeight="false" outlineLevel="0" collapsed="false">
      <c r="A42" s="50"/>
      <c r="B42" s="51" t="s">
        <v>38</v>
      </c>
      <c r="C42" s="51"/>
      <c r="D42" s="52" t="s">
        <v>39</v>
      </c>
      <c r="E42" s="52"/>
      <c r="F42" s="49"/>
      <c r="G42" s="52" t="s">
        <v>40</v>
      </c>
      <c r="H42" s="52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customFormat="false" ht="13.8" hidden="false" customHeight="false" outlineLevel="0" collapsed="false"/>
    <row r="44" customFormat="false" ht="13.8" hidden="false" customHeight="false" outlineLevel="0" collapsed="false"/>
  </sheetData>
  <mergeCells count="20">
    <mergeCell ref="C4:H5"/>
    <mergeCell ref="C6:H6"/>
    <mergeCell ref="A7:C8"/>
    <mergeCell ref="D7:H8"/>
    <mergeCell ref="A9:C10"/>
    <mergeCell ref="D9:H10"/>
    <mergeCell ref="A11:C12"/>
    <mergeCell ref="D11:H12"/>
    <mergeCell ref="A13:C14"/>
    <mergeCell ref="D13:H14"/>
    <mergeCell ref="A15:C16"/>
    <mergeCell ref="D15:E16"/>
    <mergeCell ref="F15:H16"/>
    <mergeCell ref="A18:H18"/>
    <mergeCell ref="B41:C41"/>
    <mergeCell ref="D41:E41"/>
    <mergeCell ref="G41:H41"/>
    <mergeCell ref="B42:C42"/>
    <mergeCell ref="D42:E42"/>
    <mergeCell ref="G42:H42"/>
  </mergeCells>
  <printOptions headings="false" gridLines="false" gridLinesSet="true" horizontalCentered="false" verticalCentered="false"/>
  <pageMargins left="0.236111111111111" right="0" top="0.747916666666667" bottom="0.747916666666667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LibreOffice/6.0.3.2$Linux_X86_64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2017-04-03T07:02:07Z</dcterms:created>
  <dc:creator>Nuray</dc:creator>
  <dc:description/>
  <dc:language>en-US</dc:language>
  <cp:lastModifiedBy/>
  <cp:lastPrinted>2018-03-09T11:28:46Z</cp:lastPrinted>
  <dcterms:modified xsi:type="dcterms:W3CDTF">2018-07-03T19:29:03Z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